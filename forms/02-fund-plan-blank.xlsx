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집행계획" sheetId="1" state="visible" r:id="rId1"/>
    <sheet xmlns:r="http://schemas.openxmlformats.org/officeDocument/2006/relationships" name="상환 시뮬레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i val="1"/>
      <color rgb="00595959"/>
      <sz val="9"/>
    </font>
    <font>
      <name val="맑은 고딕"/>
      <b val="1"/>
    </font>
    <font>
      <name val="맑은 고딕"/>
    </font>
  </fonts>
  <fills count="4">
    <fill>
      <patternFill/>
    </fill>
    <fill>
      <patternFill patternType="gray125"/>
    </fill>
    <fill>
      <patternFill patternType="solid">
        <fgColor rgb="00FFF9E5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3" fontId="0" fillId="2" borderId="1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4" fillId="2" borderId="1" pivotButton="0" quotePrefix="0" xfId="0"/>
    <xf numFmtId="3" fontId="4" fillId="2" borderId="1" pivotButton="0" quotePrefix="0" xfId="0"/>
    <xf numFmtId="3" fontId="3" fillId="0" borderId="0" pivotButton="0" quotePrefix="0" xfId="0"/>
    <xf numFmtId="3" fontId="0" fillId="0" borderId="0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26" customWidth="1" min="4" max="4"/>
    <col width="16" customWidth="1" min="5" max="5"/>
    <col width="12" customWidth="1" min="6" max="6"/>
    <col width="18" customWidth="1" min="7" max="7"/>
  </cols>
  <sheetData>
    <row r="1">
      <c r="A1" s="1" t="inlineStr">
        <is>
          <t>자금집행계획표</t>
        </is>
      </c>
    </row>
    <row r="2">
      <c r="A2" s="2" t="inlineStr">
        <is>
          <t>공식 서식이 아닌 신청 준비용 양식입니다. 노란 칸에 입력하세요.</t>
        </is>
      </c>
    </row>
    <row r="4">
      <c r="A4" s="3" t="inlineStr">
        <is>
          <t>신청 자금명</t>
        </is>
      </c>
      <c r="B4" s="4" t="n"/>
    </row>
    <row r="5">
      <c r="A5" s="3" t="inlineStr">
        <is>
          <t>신청 금액(원)</t>
        </is>
      </c>
      <c r="B5" s="5" t="n"/>
    </row>
    <row r="7">
      <c r="A7" s="6" t="inlineStr">
        <is>
          <t>No</t>
        </is>
      </c>
      <c r="B7" s="6" t="inlineStr">
        <is>
          <t>구분</t>
        </is>
      </c>
      <c r="C7" s="6" t="inlineStr">
        <is>
          <t>세부 용도</t>
        </is>
      </c>
      <c r="D7" s="6" t="inlineStr">
        <is>
          <t>거래처·내용</t>
        </is>
      </c>
      <c r="E7" s="6" t="inlineStr">
        <is>
          <t>금액(원)</t>
        </is>
      </c>
      <c r="F7" s="6" t="inlineStr">
        <is>
          <t>집행 예정월</t>
        </is>
      </c>
      <c r="G7" s="6" t="inlineStr">
        <is>
          <t>증빙 서류</t>
        </is>
      </c>
    </row>
    <row r="8">
      <c r="A8" s="7" t="n">
        <v>1</v>
      </c>
      <c r="B8" s="8" t="n"/>
      <c r="C8" s="8" t="n"/>
      <c r="D8" s="8" t="n"/>
      <c r="E8" s="9" t="n"/>
      <c r="F8" s="8" t="n"/>
      <c r="G8" s="8" t="n"/>
    </row>
    <row r="9">
      <c r="A9" s="7" t="n">
        <v>2</v>
      </c>
      <c r="B9" s="8" t="n"/>
      <c r="C9" s="8" t="n"/>
      <c r="D9" s="8" t="n"/>
      <c r="E9" s="9" t="n"/>
      <c r="F9" s="8" t="n"/>
      <c r="G9" s="8" t="n"/>
    </row>
    <row r="10">
      <c r="A10" s="7" t="n">
        <v>3</v>
      </c>
      <c r="B10" s="8" t="n"/>
      <c r="C10" s="8" t="n"/>
      <c r="D10" s="8" t="n"/>
      <c r="E10" s="9" t="n"/>
      <c r="F10" s="8" t="n"/>
      <c r="G10" s="8" t="n"/>
    </row>
    <row r="11">
      <c r="A11" s="7" t="n">
        <v>4</v>
      </c>
      <c r="B11" s="8" t="n"/>
      <c r="C11" s="8" t="n"/>
      <c r="D11" s="8" t="n"/>
      <c r="E11" s="9" t="n"/>
      <c r="F11" s="8" t="n"/>
      <c r="G11" s="8" t="n"/>
    </row>
    <row r="12">
      <c r="A12" s="7" t="n">
        <v>5</v>
      </c>
      <c r="B12" s="8" t="n"/>
      <c r="C12" s="8" t="n"/>
      <c r="D12" s="8" t="n"/>
      <c r="E12" s="9" t="n"/>
      <c r="F12" s="8" t="n"/>
      <c r="G12" s="8" t="n"/>
    </row>
    <row r="13">
      <c r="A13" s="7" t="n">
        <v>6</v>
      </c>
      <c r="B13" s="8" t="n"/>
      <c r="C13" s="8" t="n"/>
      <c r="D13" s="8" t="n"/>
      <c r="E13" s="9" t="n"/>
      <c r="F13" s="8" t="n"/>
      <c r="G13" s="8" t="n"/>
    </row>
    <row r="14">
      <c r="A14" s="7" t="n">
        <v>7</v>
      </c>
      <c r="B14" s="8" t="n"/>
      <c r="C14" s="8" t="n"/>
      <c r="D14" s="8" t="n"/>
      <c r="E14" s="9" t="n"/>
      <c r="F14" s="8" t="n"/>
      <c r="G14" s="8" t="n"/>
    </row>
    <row r="15">
      <c r="A15" s="7" t="n">
        <v>8</v>
      </c>
      <c r="B15" s="8" t="n"/>
      <c r="C15" s="8" t="n"/>
      <c r="D15" s="8" t="n"/>
      <c r="E15" s="9" t="n"/>
      <c r="F15" s="8" t="n"/>
      <c r="G15" s="8" t="n"/>
    </row>
    <row r="16">
      <c r="A16" s="7" t="n">
        <v>9</v>
      </c>
      <c r="B16" s="8" t="n"/>
      <c r="C16" s="8" t="n"/>
      <c r="D16" s="8" t="n"/>
      <c r="E16" s="9" t="n"/>
      <c r="F16" s="8" t="n"/>
      <c r="G16" s="8" t="n"/>
    </row>
    <row r="17">
      <c r="A17" s="7" t="n">
        <v>10</v>
      </c>
      <c r="B17" s="8" t="n"/>
      <c r="C17" s="8" t="n"/>
      <c r="D17" s="8" t="n"/>
      <c r="E17" s="9" t="n"/>
      <c r="F17" s="8" t="n"/>
      <c r="G17" s="8" t="n"/>
    </row>
    <row r="18">
      <c r="A18" s="7" t="n">
        <v>11</v>
      </c>
      <c r="B18" s="8" t="n"/>
      <c r="C18" s="8" t="n"/>
      <c r="D18" s="8" t="n"/>
      <c r="E18" s="9" t="n"/>
      <c r="F18" s="8" t="n"/>
      <c r="G18" s="8" t="n"/>
    </row>
    <row r="19">
      <c r="A19" s="7" t="n">
        <v>12</v>
      </c>
      <c r="B19" s="8" t="n"/>
      <c r="C19" s="8" t="n"/>
      <c r="D19" s="8" t="n"/>
      <c r="E19" s="9" t="n"/>
      <c r="F19" s="8" t="n"/>
      <c r="G19" s="8" t="n"/>
    </row>
    <row r="20">
      <c r="D20" s="3" t="inlineStr">
        <is>
          <t>합계</t>
        </is>
      </c>
      <c r="E20" s="10">
        <f>SUM(E8:E19)</f>
        <v/>
      </c>
    </row>
    <row r="21">
      <c r="D21" s="3" t="inlineStr">
        <is>
          <t>신청금액과의 차액</t>
        </is>
      </c>
      <c r="E21" s="10">
        <f>B5-E20</f>
        <v/>
      </c>
    </row>
    <row r="22">
      <c r="D22" s="3" t="inlineStr">
        <is>
          <t>검증</t>
        </is>
      </c>
      <c r="E22" s="3">
        <f>IF(B5="","신청 금액을 입력하세요",IF(E21=0,"일치","차액 있음: 합계를 신청금액과 맞추세요"))</f>
        <v/>
      </c>
    </row>
  </sheetData>
  <dataValidations count="1">
    <dataValidation sqref="B8:B19" showDropDown="0" showInputMessage="0" showErrorMessage="0" allowBlank="1" type="list">
      <formula1>"운전,시설"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4" customWidth="1" min="6" max="6"/>
    <col width="14" customWidth="1" min="7" max="7"/>
    <col width="16" customWidth="1" min="8" max="8"/>
  </cols>
  <sheetData>
    <row r="1">
      <c r="A1" s="1" t="inlineStr">
        <is>
          <t>원금균등 상환 시뮬레이터 (단순 계산)</t>
        </is>
      </c>
    </row>
    <row r="2">
      <c r="A2" s="2" t="inlineStr">
        <is>
          <t>실제 상환 방식·금리는 약정서 기준입니다. 금리는 기준금리 + 가산금리를 직접 입력하세요(기준금리는 분기마다 변동, 소진공·중진공 누리집 공지).</t>
        </is>
      </c>
    </row>
    <row r="4">
      <c r="A4" s="3" t="inlineStr">
        <is>
          <t>대출금액(원)</t>
        </is>
      </c>
      <c r="B4" s="5" t="n"/>
      <c r="G4" s="3" t="inlineStr">
        <is>
          <t>총 이자(원)</t>
        </is>
      </c>
      <c r="H4" s="11">
        <f>SUM(C10:C129)</f>
        <v/>
      </c>
    </row>
    <row r="5">
      <c r="A5" s="3" t="inlineStr">
        <is>
          <t>연 금리(%)</t>
        </is>
      </c>
      <c r="B5" s="4" t="n"/>
      <c r="G5" s="3" t="inlineStr">
        <is>
          <t>총 상환액(원)</t>
        </is>
      </c>
      <c r="H5" s="11">
        <f>SUM(D10:D129)</f>
        <v/>
      </c>
    </row>
    <row r="6">
      <c r="A6" s="3" t="inlineStr">
        <is>
          <t>총 기간(개월)</t>
        </is>
      </c>
      <c r="B6" s="4" t="n"/>
    </row>
    <row r="7">
      <c r="A7" s="3" t="inlineStr">
        <is>
          <t>거치 기간(개월)</t>
        </is>
      </c>
      <c r="B7" s="4" t="n"/>
    </row>
    <row r="9">
      <c r="A9" s="6" t="inlineStr">
        <is>
          <t>회차</t>
        </is>
      </c>
      <c r="B9" s="6" t="inlineStr">
        <is>
          <t>원금 상환</t>
        </is>
      </c>
      <c r="C9" s="6" t="inlineStr">
        <is>
          <t>이자</t>
        </is>
      </c>
      <c r="D9" s="6" t="inlineStr">
        <is>
          <t>월 납입액</t>
        </is>
      </c>
      <c r="E9" s="6" t="inlineStr">
        <is>
          <t>대출 잔액</t>
        </is>
      </c>
    </row>
    <row r="10">
      <c r="A10" s="7">
        <f>IF(1&gt;$B$6,"",1)</f>
        <v/>
      </c>
      <c r="B10" s="12">
        <f>IF(A10="","",IF(A10&lt;=$B$7,0,$B$4/($B$6-$B$7)))</f>
        <v/>
      </c>
      <c r="C10" s="12">
        <f>IF(A10="","",ROUND($B$4*$B$5/100/12,0))</f>
        <v/>
      </c>
      <c r="D10" s="12">
        <f>IF(A10="","",B10+C10)</f>
        <v/>
      </c>
      <c r="E10" s="12">
        <f>IF(A10="","",$B$4-B10)</f>
        <v/>
      </c>
    </row>
    <row r="11">
      <c r="A11" s="7">
        <f>IF(2&gt;$B$6,"",2)</f>
        <v/>
      </c>
      <c r="B11" s="12">
        <f>IF(A11="","",IF(A11&lt;=$B$7,0,$B$4/($B$6-$B$7)))</f>
        <v/>
      </c>
      <c r="C11" s="12">
        <f>IF(A11="","",ROUND(E10*$B$5/100/12,0))</f>
        <v/>
      </c>
      <c r="D11" s="12">
        <f>IF(A11="","",B11+C11)</f>
        <v/>
      </c>
      <c r="E11" s="12">
        <f>IF(A11="","",E10-B11)</f>
        <v/>
      </c>
    </row>
    <row r="12">
      <c r="A12" s="7">
        <f>IF(3&gt;$B$6,"",3)</f>
        <v/>
      </c>
      <c r="B12" s="12">
        <f>IF(A12="","",IF(A12&lt;=$B$7,0,$B$4/($B$6-$B$7)))</f>
        <v/>
      </c>
      <c r="C12" s="12">
        <f>IF(A12="","",ROUND(E11*$B$5/100/12,0))</f>
        <v/>
      </c>
      <c r="D12" s="12">
        <f>IF(A12="","",B12+C12)</f>
        <v/>
      </c>
      <c r="E12" s="12">
        <f>IF(A12="","",E11-B12)</f>
        <v/>
      </c>
    </row>
    <row r="13">
      <c r="A13" s="7">
        <f>IF(4&gt;$B$6,"",4)</f>
        <v/>
      </c>
      <c r="B13" s="12">
        <f>IF(A13="","",IF(A13&lt;=$B$7,0,$B$4/($B$6-$B$7)))</f>
        <v/>
      </c>
      <c r="C13" s="12">
        <f>IF(A13="","",ROUND(E12*$B$5/100/12,0))</f>
        <v/>
      </c>
      <c r="D13" s="12">
        <f>IF(A13="","",B13+C13)</f>
        <v/>
      </c>
      <c r="E13" s="12">
        <f>IF(A13="","",E12-B13)</f>
        <v/>
      </c>
    </row>
    <row r="14">
      <c r="A14" s="7">
        <f>IF(5&gt;$B$6,"",5)</f>
        <v/>
      </c>
      <c r="B14" s="12">
        <f>IF(A14="","",IF(A14&lt;=$B$7,0,$B$4/($B$6-$B$7)))</f>
        <v/>
      </c>
      <c r="C14" s="12">
        <f>IF(A14="","",ROUND(E13*$B$5/100/12,0))</f>
        <v/>
      </c>
      <c r="D14" s="12">
        <f>IF(A14="","",B14+C14)</f>
        <v/>
      </c>
      <c r="E14" s="12">
        <f>IF(A14="","",E13-B14)</f>
        <v/>
      </c>
    </row>
    <row r="15">
      <c r="A15" s="7">
        <f>IF(6&gt;$B$6,"",6)</f>
        <v/>
      </c>
      <c r="B15" s="12">
        <f>IF(A15="","",IF(A15&lt;=$B$7,0,$B$4/($B$6-$B$7)))</f>
        <v/>
      </c>
      <c r="C15" s="12">
        <f>IF(A15="","",ROUND(E14*$B$5/100/12,0))</f>
        <v/>
      </c>
      <c r="D15" s="12">
        <f>IF(A15="","",B15+C15)</f>
        <v/>
      </c>
      <c r="E15" s="12">
        <f>IF(A15="","",E14-B15)</f>
        <v/>
      </c>
    </row>
    <row r="16">
      <c r="A16" s="7">
        <f>IF(7&gt;$B$6,"",7)</f>
        <v/>
      </c>
      <c r="B16" s="12">
        <f>IF(A16="","",IF(A16&lt;=$B$7,0,$B$4/($B$6-$B$7)))</f>
        <v/>
      </c>
      <c r="C16" s="12">
        <f>IF(A16="","",ROUND(E15*$B$5/100/12,0))</f>
        <v/>
      </c>
      <c r="D16" s="12">
        <f>IF(A16="","",B16+C16)</f>
        <v/>
      </c>
      <c r="E16" s="12">
        <f>IF(A16="","",E15-B16)</f>
        <v/>
      </c>
    </row>
    <row r="17">
      <c r="A17" s="7">
        <f>IF(8&gt;$B$6,"",8)</f>
        <v/>
      </c>
      <c r="B17" s="12">
        <f>IF(A17="","",IF(A17&lt;=$B$7,0,$B$4/($B$6-$B$7)))</f>
        <v/>
      </c>
      <c r="C17" s="12">
        <f>IF(A17="","",ROUND(E16*$B$5/100/12,0))</f>
        <v/>
      </c>
      <c r="D17" s="12">
        <f>IF(A17="","",B17+C17)</f>
        <v/>
      </c>
      <c r="E17" s="12">
        <f>IF(A17="","",E16-B17)</f>
        <v/>
      </c>
    </row>
    <row r="18">
      <c r="A18" s="7">
        <f>IF(9&gt;$B$6,"",9)</f>
        <v/>
      </c>
      <c r="B18" s="12">
        <f>IF(A18="","",IF(A18&lt;=$B$7,0,$B$4/($B$6-$B$7)))</f>
        <v/>
      </c>
      <c r="C18" s="12">
        <f>IF(A18="","",ROUND(E17*$B$5/100/12,0))</f>
        <v/>
      </c>
      <c r="D18" s="12">
        <f>IF(A18="","",B18+C18)</f>
        <v/>
      </c>
      <c r="E18" s="12">
        <f>IF(A18="","",E17-B18)</f>
        <v/>
      </c>
    </row>
    <row r="19">
      <c r="A19" s="7">
        <f>IF(10&gt;$B$6,"",10)</f>
        <v/>
      </c>
      <c r="B19" s="12">
        <f>IF(A19="","",IF(A19&lt;=$B$7,0,$B$4/($B$6-$B$7)))</f>
        <v/>
      </c>
      <c r="C19" s="12">
        <f>IF(A19="","",ROUND(E18*$B$5/100/12,0))</f>
        <v/>
      </c>
      <c r="D19" s="12">
        <f>IF(A19="","",B19+C19)</f>
        <v/>
      </c>
      <c r="E19" s="12">
        <f>IF(A19="","",E18-B19)</f>
        <v/>
      </c>
    </row>
    <row r="20">
      <c r="A20" s="7">
        <f>IF(11&gt;$B$6,"",11)</f>
        <v/>
      </c>
      <c r="B20" s="12">
        <f>IF(A20="","",IF(A20&lt;=$B$7,0,$B$4/($B$6-$B$7)))</f>
        <v/>
      </c>
      <c r="C20" s="12">
        <f>IF(A20="","",ROUND(E19*$B$5/100/12,0))</f>
        <v/>
      </c>
      <c r="D20" s="12">
        <f>IF(A20="","",B20+C20)</f>
        <v/>
      </c>
      <c r="E20" s="12">
        <f>IF(A20="","",E19-B20)</f>
        <v/>
      </c>
    </row>
    <row r="21">
      <c r="A21" s="7">
        <f>IF(12&gt;$B$6,"",12)</f>
        <v/>
      </c>
      <c r="B21" s="12">
        <f>IF(A21="","",IF(A21&lt;=$B$7,0,$B$4/($B$6-$B$7)))</f>
        <v/>
      </c>
      <c r="C21" s="12">
        <f>IF(A21="","",ROUND(E20*$B$5/100/12,0))</f>
        <v/>
      </c>
      <c r="D21" s="12">
        <f>IF(A21="","",B21+C21)</f>
        <v/>
      </c>
      <c r="E21" s="12">
        <f>IF(A21="","",E20-B21)</f>
        <v/>
      </c>
    </row>
    <row r="22">
      <c r="A22" s="7">
        <f>IF(13&gt;$B$6,"",13)</f>
        <v/>
      </c>
      <c r="B22" s="12">
        <f>IF(A22="","",IF(A22&lt;=$B$7,0,$B$4/($B$6-$B$7)))</f>
        <v/>
      </c>
      <c r="C22" s="12">
        <f>IF(A22="","",ROUND(E21*$B$5/100/12,0))</f>
        <v/>
      </c>
      <c r="D22" s="12">
        <f>IF(A22="","",B22+C22)</f>
        <v/>
      </c>
      <c r="E22" s="12">
        <f>IF(A22="","",E21-B22)</f>
        <v/>
      </c>
    </row>
    <row r="23">
      <c r="A23" s="7">
        <f>IF(14&gt;$B$6,"",14)</f>
        <v/>
      </c>
      <c r="B23" s="12">
        <f>IF(A23="","",IF(A23&lt;=$B$7,0,$B$4/($B$6-$B$7)))</f>
        <v/>
      </c>
      <c r="C23" s="12">
        <f>IF(A23="","",ROUND(E22*$B$5/100/12,0))</f>
        <v/>
      </c>
      <c r="D23" s="12">
        <f>IF(A23="","",B23+C23)</f>
        <v/>
      </c>
      <c r="E23" s="12">
        <f>IF(A23="","",E22-B23)</f>
        <v/>
      </c>
    </row>
    <row r="24">
      <c r="A24" s="7">
        <f>IF(15&gt;$B$6,"",15)</f>
        <v/>
      </c>
      <c r="B24" s="12">
        <f>IF(A24="","",IF(A24&lt;=$B$7,0,$B$4/($B$6-$B$7)))</f>
        <v/>
      </c>
      <c r="C24" s="12">
        <f>IF(A24="","",ROUND(E23*$B$5/100/12,0))</f>
        <v/>
      </c>
      <c r="D24" s="12">
        <f>IF(A24="","",B24+C24)</f>
        <v/>
      </c>
      <c r="E24" s="12">
        <f>IF(A24="","",E23-B24)</f>
        <v/>
      </c>
    </row>
    <row r="25">
      <c r="A25" s="7">
        <f>IF(16&gt;$B$6,"",16)</f>
        <v/>
      </c>
      <c r="B25" s="12">
        <f>IF(A25="","",IF(A25&lt;=$B$7,0,$B$4/($B$6-$B$7)))</f>
        <v/>
      </c>
      <c r="C25" s="12">
        <f>IF(A25="","",ROUND(E24*$B$5/100/12,0))</f>
        <v/>
      </c>
      <c r="D25" s="12">
        <f>IF(A25="","",B25+C25)</f>
        <v/>
      </c>
      <c r="E25" s="12">
        <f>IF(A25="","",E24-B25)</f>
        <v/>
      </c>
    </row>
    <row r="26">
      <c r="A26" s="7">
        <f>IF(17&gt;$B$6,"",17)</f>
        <v/>
      </c>
      <c r="B26" s="12">
        <f>IF(A26="","",IF(A26&lt;=$B$7,0,$B$4/($B$6-$B$7)))</f>
        <v/>
      </c>
      <c r="C26" s="12">
        <f>IF(A26="","",ROUND(E25*$B$5/100/12,0))</f>
        <v/>
      </c>
      <c r="D26" s="12">
        <f>IF(A26="","",B26+C26)</f>
        <v/>
      </c>
      <c r="E26" s="12">
        <f>IF(A26="","",E25-B26)</f>
        <v/>
      </c>
    </row>
    <row r="27">
      <c r="A27" s="7">
        <f>IF(18&gt;$B$6,"",18)</f>
        <v/>
      </c>
      <c r="B27" s="12">
        <f>IF(A27="","",IF(A27&lt;=$B$7,0,$B$4/($B$6-$B$7)))</f>
        <v/>
      </c>
      <c r="C27" s="12">
        <f>IF(A27="","",ROUND(E26*$B$5/100/12,0))</f>
        <v/>
      </c>
      <c r="D27" s="12">
        <f>IF(A27="","",B27+C27)</f>
        <v/>
      </c>
      <c r="E27" s="12">
        <f>IF(A27="","",E26-B27)</f>
        <v/>
      </c>
    </row>
    <row r="28">
      <c r="A28" s="7">
        <f>IF(19&gt;$B$6,"",19)</f>
        <v/>
      </c>
      <c r="B28" s="12">
        <f>IF(A28="","",IF(A28&lt;=$B$7,0,$B$4/($B$6-$B$7)))</f>
        <v/>
      </c>
      <c r="C28" s="12">
        <f>IF(A28="","",ROUND(E27*$B$5/100/12,0))</f>
        <v/>
      </c>
      <c r="D28" s="12">
        <f>IF(A28="","",B28+C28)</f>
        <v/>
      </c>
      <c r="E28" s="12">
        <f>IF(A28="","",E27-B28)</f>
        <v/>
      </c>
    </row>
    <row r="29">
      <c r="A29" s="7">
        <f>IF(20&gt;$B$6,"",20)</f>
        <v/>
      </c>
      <c r="B29" s="12">
        <f>IF(A29="","",IF(A29&lt;=$B$7,0,$B$4/($B$6-$B$7)))</f>
        <v/>
      </c>
      <c r="C29" s="12">
        <f>IF(A29="","",ROUND(E28*$B$5/100/12,0))</f>
        <v/>
      </c>
      <c r="D29" s="12">
        <f>IF(A29="","",B29+C29)</f>
        <v/>
      </c>
      <c r="E29" s="12">
        <f>IF(A29="","",E28-B29)</f>
        <v/>
      </c>
    </row>
    <row r="30">
      <c r="A30" s="7">
        <f>IF(21&gt;$B$6,"",21)</f>
        <v/>
      </c>
      <c r="B30" s="12">
        <f>IF(A30="","",IF(A30&lt;=$B$7,0,$B$4/($B$6-$B$7)))</f>
        <v/>
      </c>
      <c r="C30" s="12">
        <f>IF(A30="","",ROUND(E29*$B$5/100/12,0))</f>
        <v/>
      </c>
      <c r="D30" s="12">
        <f>IF(A30="","",B30+C30)</f>
        <v/>
      </c>
      <c r="E30" s="12">
        <f>IF(A30="","",E29-B30)</f>
        <v/>
      </c>
    </row>
    <row r="31">
      <c r="A31" s="7">
        <f>IF(22&gt;$B$6,"",22)</f>
        <v/>
      </c>
      <c r="B31" s="12">
        <f>IF(A31="","",IF(A31&lt;=$B$7,0,$B$4/($B$6-$B$7)))</f>
        <v/>
      </c>
      <c r="C31" s="12">
        <f>IF(A31="","",ROUND(E30*$B$5/100/12,0))</f>
        <v/>
      </c>
      <c r="D31" s="12">
        <f>IF(A31="","",B31+C31)</f>
        <v/>
      </c>
      <c r="E31" s="12">
        <f>IF(A31="","",E30-B31)</f>
        <v/>
      </c>
    </row>
    <row r="32">
      <c r="A32" s="7">
        <f>IF(23&gt;$B$6,"",23)</f>
        <v/>
      </c>
      <c r="B32" s="12">
        <f>IF(A32="","",IF(A32&lt;=$B$7,0,$B$4/($B$6-$B$7)))</f>
        <v/>
      </c>
      <c r="C32" s="12">
        <f>IF(A32="","",ROUND(E31*$B$5/100/12,0))</f>
        <v/>
      </c>
      <c r="D32" s="12">
        <f>IF(A32="","",B32+C32)</f>
        <v/>
      </c>
      <c r="E32" s="12">
        <f>IF(A32="","",E31-B32)</f>
        <v/>
      </c>
    </row>
    <row r="33">
      <c r="A33" s="7">
        <f>IF(24&gt;$B$6,"",24)</f>
        <v/>
      </c>
      <c r="B33" s="12">
        <f>IF(A33="","",IF(A33&lt;=$B$7,0,$B$4/($B$6-$B$7)))</f>
        <v/>
      </c>
      <c r="C33" s="12">
        <f>IF(A33="","",ROUND(E32*$B$5/100/12,0))</f>
        <v/>
      </c>
      <c r="D33" s="12">
        <f>IF(A33="","",B33+C33)</f>
        <v/>
      </c>
      <c r="E33" s="12">
        <f>IF(A33="","",E32-B33)</f>
        <v/>
      </c>
    </row>
    <row r="34">
      <c r="A34" s="7">
        <f>IF(25&gt;$B$6,"",25)</f>
        <v/>
      </c>
      <c r="B34" s="12">
        <f>IF(A34="","",IF(A34&lt;=$B$7,0,$B$4/($B$6-$B$7)))</f>
        <v/>
      </c>
      <c r="C34" s="12">
        <f>IF(A34="","",ROUND(E33*$B$5/100/12,0))</f>
        <v/>
      </c>
      <c r="D34" s="12">
        <f>IF(A34="","",B34+C34)</f>
        <v/>
      </c>
      <c r="E34" s="12">
        <f>IF(A34="","",E33-B34)</f>
        <v/>
      </c>
    </row>
    <row r="35">
      <c r="A35" s="7">
        <f>IF(26&gt;$B$6,"",26)</f>
        <v/>
      </c>
      <c r="B35" s="12">
        <f>IF(A35="","",IF(A35&lt;=$B$7,0,$B$4/($B$6-$B$7)))</f>
        <v/>
      </c>
      <c r="C35" s="12">
        <f>IF(A35="","",ROUND(E34*$B$5/100/12,0))</f>
        <v/>
      </c>
      <c r="D35" s="12">
        <f>IF(A35="","",B35+C35)</f>
        <v/>
      </c>
      <c r="E35" s="12">
        <f>IF(A35="","",E34-B35)</f>
        <v/>
      </c>
    </row>
    <row r="36">
      <c r="A36" s="7">
        <f>IF(27&gt;$B$6,"",27)</f>
        <v/>
      </c>
      <c r="B36" s="12">
        <f>IF(A36="","",IF(A36&lt;=$B$7,0,$B$4/($B$6-$B$7)))</f>
        <v/>
      </c>
      <c r="C36" s="12">
        <f>IF(A36="","",ROUND(E35*$B$5/100/12,0))</f>
        <v/>
      </c>
      <c r="D36" s="12">
        <f>IF(A36="","",B36+C36)</f>
        <v/>
      </c>
      <c r="E36" s="12">
        <f>IF(A36="","",E35-B36)</f>
        <v/>
      </c>
    </row>
    <row r="37">
      <c r="A37" s="7">
        <f>IF(28&gt;$B$6,"",28)</f>
        <v/>
      </c>
      <c r="B37" s="12">
        <f>IF(A37="","",IF(A37&lt;=$B$7,0,$B$4/($B$6-$B$7)))</f>
        <v/>
      </c>
      <c r="C37" s="12">
        <f>IF(A37="","",ROUND(E36*$B$5/100/12,0))</f>
        <v/>
      </c>
      <c r="D37" s="12">
        <f>IF(A37="","",B37+C37)</f>
        <v/>
      </c>
      <c r="E37" s="12">
        <f>IF(A37="","",E36-B37)</f>
        <v/>
      </c>
    </row>
    <row r="38">
      <c r="A38" s="7">
        <f>IF(29&gt;$B$6,"",29)</f>
        <v/>
      </c>
      <c r="B38" s="12">
        <f>IF(A38="","",IF(A38&lt;=$B$7,0,$B$4/($B$6-$B$7)))</f>
        <v/>
      </c>
      <c r="C38" s="12">
        <f>IF(A38="","",ROUND(E37*$B$5/100/12,0))</f>
        <v/>
      </c>
      <c r="D38" s="12">
        <f>IF(A38="","",B38+C38)</f>
        <v/>
      </c>
      <c r="E38" s="12">
        <f>IF(A38="","",E37-B38)</f>
        <v/>
      </c>
    </row>
    <row r="39">
      <c r="A39" s="7">
        <f>IF(30&gt;$B$6,"",30)</f>
        <v/>
      </c>
      <c r="B39" s="12">
        <f>IF(A39="","",IF(A39&lt;=$B$7,0,$B$4/($B$6-$B$7)))</f>
        <v/>
      </c>
      <c r="C39" s="12">
        <f>IF(A39="","",ROUND(E38*$B$5/100/12,0))</f>
        <v/>
      </c>
      <c r="D39" s="12">
        <f>IF(A39="","",B39+C39)</f>
        <v/>
      </c>
      <c r="E39" s="12">
        <f>IF(A39="","",E38-B39)</f>
        <v/>
      </c>
    </row>
    <row r="40">
      <c r="A40" s="7">
        <f>IF(31&gt;$B$6,"",31)</f>
        <v/>
      </c>
      <c r="B40" s="12">
        <f>IF(A40="","",IF(A40&lt;=$B$7,0,$B$4/($B$6-$B$7)))</f>
        <v/>
      </c>
      <c r="C40" s="12">
        <f>IF(A40="","",ROUND(E39*$B$5/100/12,0))</f>
        <v/>
      </c>
      <c r="D40" s="12">
        <f>IF(A40="","",B40+C40)</f>
        <v/>
      </c>
      <c r="E40" s="12">
        <f>IF(A40="","",E39-B40)</f>
        <v/>
      </c>
    </row>
    <row r="41">
      <c r="A41" s="7">
        <f>IF(32&gt;$B$6,"",32)</f>
        <v/>
      </c>
      <c r="B41" s="12">
        <f>IF(A41="","",IF(A41&lt;=$B$7,0,$B$4/($B$6-$B$7)))</f>
        <v/>
      </c>
      <c r="C41" s="12">
        <f>IF(A41="","",ROUND(E40*$B$5/100/12,0))</f>
        <v/>
      </c>
      <c r="D41" s="12">
        <f>IF(A41="","",B41+C41)</f>
        <v/>
      </c>
      <c r="E41" s="12">
        <f>IF(A41="","",E40-B41)</f>
        <v/>
      </c>
    </row>
    <row r="42">
      <c r="A42" s="7">
        <f>IF(33&gt;$B$6,"",33)</f>
        <v/>
      </c>
      <c r="B42" s="12">
        <f>IF(A42="","",IF(A42&lt;=$B$7,0,$B$4/($B$6-$B$7)))</f>
        <v/>
      </c>
      <c r="C42" s="12">
        <f>IF(A42="","",ROUND(E41*$B$5/100/12,0))</f>
        <v/>
      </c>
      <c r="D42" s="12">
        <f>IF(A42="","",B42+C42)</f>
        <v/>
      </c>
      <c r="E42" s="12">
        <f>IF(A42="","",E41-B42)</f>
        <v/>
      </c>
    </row>
    <row r="43">
      <c r="A43" s="7">
        <f>IF(34&gt;$B$6,"",34)</f>
        <v/>
      </c>
      <c r="B43" s="12">
        <f>IF(A43="","",IF(A43&lt;=$B$7,0,$B$4/($B$6-$B$7)))</f>
        <v/>
      </c>
      <c r="C43" s="12">
        <f>IF(A43="","",ROUND(E42*$B$5/100/12,0))</f>
        <v/>
      </c>
      <c r="D43" s="12">
        <f>IF(A43="","",B43+C43)</f>
        <v/>
      </c>
      <c r="E43" s="12">
        <f>IF(A43="","",E42-B43)</f>
        <v/>
      </c>
    </row>
    <row r="44">
      <c r="A44" s="7">
        <f>IF(35&gt;$B$6,"",35)</f>
        <v/>
      </c>
      <c r="B44" s="12">
        <f>IF(A44="","",IF(A44&lt;=$B$7,0,$B$4/($B$6-$B$7)))</f>
        <v/>
      </c>
      <c r="C44" s="12">
        <f>IF(A44="","",ROUND(E43*$B$5/100/12,0))</f>
        <v/>
      </c>
      <c r="D44" s="12">
        <f>IF(A44="","",B44+C44)</f>
        <v/>
      </c>
      <c r="E44" s="12">
        <f>IF(A44="","",E43-B44)</f>
        <v/>
      </c>
    </row>
    <row r="45">
      <c r="A45" s="7">
        <f>IF(36&gt;$B$6,"",36)</f>
        <v/>
      </c>
      <c r="B45" s="12">
        <f>IF(A45="","",IF(A45&lt;=$B$7,0,$B$4/($B$6-$B$7)))</f>
        <v/>
      </c>
      <c r="C45" s="12">
        <f>IF(A45="","",ROUND(E44*$B$5/100/12,0))</f>
        <v/>
      </c>
      <c r="D45" s="12">
        <f>IF(A45="","",B45+C45)</f>
        <v/>
      </c>
      <c r="E45" s="12">
        <f>IF(A45="","",E44-B45)</f>
        <v/>
      </c>
    </row>
    <row r="46">
      <c r="A46" s="7">
        <f>IF(37&gt;$B$6,"",37)</f>
        <v/>
      </c>
      <c r="B46" s="12">
        <f>IF(A46="","",IF(A46&lt;=$B$7,0,$B$4/($B$6-$B$7)))</f>
        <v/>
      </c>
      <c r="C46" s="12">
        <f>IF(A46="","",ROUND(E45*$B$5/100/12,0))</f>
        <v/>
      </c>
      <c r="D46" s="12">
        <f>IF(A46="","",B46+C46)</f>
        <v/>
      </c>
      <c r="E46" s="12">
        <f>IF(A46="","",E45-B46)</f>
        <v/>
      </c>
    </row>
    <row r="47">
      <c r="A47" s="7">
        <f>IF(38&gt;$B$6,"",38)</f>
        <v/>
      </c>
      <c r="B47" s="12">
        <f>IF(A47="","",IF(A47&lt;=$B$7,0,$B$4/($B$6-$B$7)))</f>
        <v/>
      </c>
      <c r="C47" s="12">
        <f>IF(A47="","",ROUND(E46*$B$5/100/12,0))</f>
        <v/>
      </c>
      <c r="D47" s="12">
        <f>IF(A47="","",B47+C47)</f>
        <v/>
      </c>
      <c r="E47" s="12">
        <f>IF(A47="","",E46-B47)</f>
        <v/>
      </c>
    </row>
    <row r="48">
      <c r="A48" s="7">
        <f>IF(39&gt;$B$6,"",39)</f>
        <v/>
      </c>
      <c r="B48" s="12">
        <f>IF(A48="","",IF(A48&lt;=$B$7,0,$B$4/($B$6-$B$7)))</f>
        <v/>
      </c>
      <c r="C48" s="12">
        <f>IF(A48="","",ROUND(E47*$B$5/100/12,0))</f>
        <v/>
      </c>
      <c r="D48" s="12">
        <f>IF(A48="","",B48+C48)</f>
        <v/>
      </c>
      <c r="E48" s="12">
        <f>IF(A48="","",E47-B48)</f>
        <v/>
      </c>
    </row>
    <row r="49">
      <c r="A49" s="7">
        <f>IF(40&gt;$B$6,"",40)</f>
        <v/>
      </c>
      <c r="B49" s="12">
        <f>IF(A49="","",IF(A49&lt;=$B$7,0,$B$4/($B$6-$B$7)))</f>
        <v/>
      </c>
      <c r="C49" s="12">
        <f>IF(A49="","",ROUND(E48*$B$5/100/12,0))</f>
        <v/>
      </c>
      <c r="D49" s="12">
        <f>IF(A49="","",B49+C49)</f>
        <v/>
      </c>
      <c r="E49" s="12">
        <f>IF(A49="","",E48-B49)</f>
        <v/>
      </c>
    </row>
    <row r="50">
      <c r="A50" s="7">
        <f>IF(41&gt;$B$6,"",41)</f>
        <v/>
      </c>
      <c r="B50" s="12">
        <f>IF(A50="","",IF(A50&lt;=$B$7,0,$B$4/($B$6-$B$7)))</f>
        <v/>
      </c>
      <c r="C50" s="12">
        <f>IF(A50="","",ROUND(E49*$B$5/100/12,0))</f>
        <v/>
      </c>
      <c r="D50" s="12">
        <f>IF(A50="","",B50+C50)</f>
        <v/>
      </c>
      <c r="E50" s="12">
        <f>IF(A50="","",E49-B50)</f>
        <v/>
      </c>
    </row>
    <row r="51">
      <c r="A51" s="7">
        <f>IF(42&gt;$B$6,"",42)</f>
        <v/>
      </c>
      <c r="B51" s="12">
        <f>IF(A51="","",IF(A51&lt;=$B$7,0,$B$4/($B$6-$B$7)))</f>
        <v/>
      </c>
      <c r="C51" s="12">
        <f>IF(A51="","",ROUND(E50*$B$5/100/12,0))</f>
        <v/>
      </c>
      <c r="D51" s="12">
        <f>IF(A51="","",B51+C51)</f>
        <v/>
      </c>
      <c r="E51" s="12">
        <f>IF(A51="","",E50-B51)</f>
        <v/>
      </c>
    </row>
    <row r="52">
      <c r="A52" s="7">
        <f>IF(43&gt;$B$6,"",43)</f>
        <v/>
      </c>
      <c r="B52" s="12">
        <f>IF(A52="","",IF(A52&lt;=$B$7,0,$B$4/($B$6-$B$7)))</f>
        <v/>
      </c>
      <c r="C52" s="12">
        <f>IF(A52="","",ROUND(E51*$B$5/100/12,0))</f>
        <v/>
      </c>
      <c r="D52" s="12">
        <f>IF(A52="","",B52+C52)</f>
        <v/>
      </c>
      <c r="E52" s="12">
        <f>IF(A52="","",E51-B52)</f>
        <v/>
      </c>
    </row>
    <row r="53">
      <c r="A53" s="7">
        <f>IF(44&gt;$B$6,"",44)</f>
        <v/>
      </c>
      <c r="B53" s="12">
        <f>IF(A53="","",IF(A53&lt;=$B$7,0,$B$4/($B$6-$B$7)))</f>
        <v/>
      </c>
      <c r="C53" s="12">
        <f>IF(A53="","",ROUND(E52*$B$5/100/12,0))</f>
        <v/>
      </c>
      <c r="D53" s="12">
        <f>IF(A53="","",B53+C53)</f>
        <v/>
      </c>
      <c r="E53" s="12">
        <f>IF(A53="","",E52-B53)</f>
        <v/>
      </c>
    </row>
    <row r="54">
      <c r="A54" s="7">
        <f>IF(45&gt;$B$6,"",45)</f>
        <v/>
      </c>
      <c r="B54" s="12">
        <f>IF(A54="","",IF(A54&lt;=$B$7,0,$B$4/($B$6-$B$7)))</f>
        <v/>
      </c>
      <c r="C54" s="12">
        <f>IF(A54="","",ROUND(E53*$B$5/100/12,0))</f>
        <v/>
      </c>
      <c r="D54" s="12">
        <f>IF(A54="","",B54+C54)</f>
        <v/>
      </c>
      <c r="E54" s="12">
        <f>IF(A54="","",E53-B54)</f>
        <v/>
      </c>
    </row>
    <row r="55">
      <c r="A55" s="7">
        <f>IF(46&gt;$B$6,"",46)</f>
        <v/>
      </c>
      <c r="B55" s="12">
        <f>IF(A55="","",IF(A55&lt;=$B$7,0,$B$4/($B$6-$B$7)))</f>
        <v/>
      </c>
      <c r="C55" s="12">
        <f>IF(A55="","",ROUND(E54*$B$5/100/12,0))</f>
        <v/>
      </c>
      <c r="D55" s="12">
        <f>IF(A55="","",B55+C55)</f>
        <v/>
      </c>
      <c r="E55" s="12">
        <f>IF(A55="","",E54-B55)</f>
        <v/>
      </c>
    </row>
    <row r="56">
      <c r="A56" s="7">
        <f>IF(47&gt;$B$6,"",47)</f>
        <v/>
      </c>
      <c r="B56" s="12">
        <f>IF(A56="","",IF(A56&lt;=$B$7,0,$B$4/($B$6-$B$7)))</f>
        <v/>
      </c>
      <c r="C56" s="12">
        <f>IF(A56="","",ROUND(E55*$B$5/100/12,0))</f>
        <v/>
      </c>
      <c r="D56" s="12">
        <f>IF(A56="","",B56+C56)</f>
        <v/>
      </c>
      <c r="E56" s="12">
        <f>IF(A56="","",E55-B56)</f>
        <v/>
      </c>
    </row>
    <row r="57">
      <c r="A57" s="7">
        <f>IF(48&gt;$B$6,"",48)</f>
        <v/>
      </c>
      <c r="B57" s="12">
        <f>IF(A57="","",IF(A57&lt;=$B$7,0,$B$4/($B$6-$B$7)))</f>
        <v/>
      </c>
      <c r="C57" s="12">
        <f>IF(A57="","",ROUND(E56*$B$5/100/12,0))</f>
        <v/>
      </c>
      <c r="D57" s="12">
        <f>IF(A57="","",B57+C57)</f>
        <v/>
      </c>
      <c r="E57" s="12">
        <f>IF(A57="","",E56-B57)</f>
        <v/>
      </c>
    </row>
    <row r="58">
      <c r="A58" s="7">
        <f>IF(49&gt;$B$6,"",49)</f>
        <v/>
      </c>
      <c r="B58" s="12">
        <f>IF(A58="","",IF(A58&lt;=$B$7,0,$B$4/($B$6-$B$7)))</f>
        <v/>
      </c>
      <c r="C58" s="12">
        <f>IF(A58="","",ROUND(E57*$B$5/100/12,0))</f>
        <v/>
      </c>
      <c r="D58" s="12">
        <f>IF(A58="","",B58+C58)</f>
        <v/>
      </c>
      <c r="E58" s="12">
        <f>IF(A58="","",E57-B58)</f>
        <v/>
      </c>
    </row>
    <row r="59">
      <c r="A59" s="7">
        <f>IF(50&gt;$B$6,"",50)</f>
        <v/>
      </c>
      <c r="B59" s="12">
        <f>IF(A59="","",IF(A59&lt;=$B$7,0,$B$4/($B$6-$B$7)))</f>
        <v/>
      </c>
      <c r="C59" s="12">
        <f>IF(A59="","",ROUND(E58*$B$5/100/12,0))</f>
        <v/>
      </c>
      <c r="D59" s="12">
        <f>IF(A59="","",B59+C59)</f>
        <v/>
      </c>
      <c r="E59" s="12">
        <f>IF(A59="","",E58-B59)</f>
        <v/>
      </c>
    </row>
    <row r="60">
      <c r="A60" s="7">
        <f>IF(51&gt;$B$6,"",51)</f>
        <v/>
      </c>
      <c r="B60" s="12">
        <f>IF(A60="","",IF(A60&lt;=$B$7,0,$B$4/($B$6-$B$7)))</f>
        <v/>
      </c>
      <c r="C60" s="12">
        <f>IF(A60="","",ROUND(E59*$B$5/100/12,0))</f>
        <v/>
      </c>
      <c r="D60" s="12">
        <f>IF(A60="","",B60+C60)</f>
        <v/>
      </c>
      <c r="E60" s="12">
        <f>IF(A60="","",E59-B60)</f>
        <v/>
      </c>
    </row>
    <row r="61">
      <c r="A61" s="7">
        <f>IF(52&gt;$B$6,"",52)</f>
        <v/>
      </c>
      <c r="B61" s="12">
        <f>IF(A61="","",IF(A61&lt;=$B$7,0,$B$4/($B$6-$B$7)))</f>
        <v/>
      </c>
      <c r="C61" s="12">
        <f>IF(A61="","",ROUND(E60*$B$5/100/12,0))</f>
        <v/>
      </c>
      <c r="D61" s="12">
        <f>IF(A61="","",B61+C61)</f>
        <v/>
      </c>
      <c r="E61" s="12">
        <f>IF(A61="","",E60-B61)</f>
        <v/>
      </c>
    </row>
    <row r="62">
      <c r="A62" s="7">
        <f>IF(53&gt;$B$6,"",53)</f>
        <v/>
      </c>
      <c r="B62" s="12">
        <f>IF(A62="","",IF(A62&lt;=$B$7,0,$B$4/($B$6-$B$7)))</f>
        <v/>
      </c>
      <c r="C62" s="12">
        <f>IF(A62="","",ROUND(E61*$B$5/100/12,0))</f>
        <v/>
      </c>
      <c r="D62" s="12">
        <f>IF(A62="","",B62+C62)</f>
        <v/>
      </c>
      <c r="E62" s="12">
        <f>IF(A62="","",E61-B62)</f>
        <v/>
      </c>
    </row>
    <row r="63">
      <c r="A63" s="7">
        <f>IF(54&gt;$B$6,"",54)</f>
        <v/>
      </c>
      <c r="B63" s="12">
        <f>IF(A63="","",IF(A63&lt;=$B$7,0,$B$4/($B$6-$B$7)))</f>
        <v/>
      </c>
      <c r="C63" s="12">
        <f>IF(A63="","",ROUND(E62*$B$5/100/12,0))</f>
        <v/>
      </c>
      <c r="D63" s="12">
        <f>IF(A63="","",B63+C63)</f>
        <v/>
      </c>
      <c r="E63" s="12">
        <f>IF(A63="","",E62-B63)</f>
        <v/>
      </c>
    </row>
    <row r="64">
      <c r="A64" s="7">
        <f>IF(55&gt;$B$6,"",55)</f>
        <v/>
      </c>
      <c r="B64" s="12">
        <f>IF(A64="","",IF(A64&lt;=$B$7,0,$B$4/($B$6-$B$7)))</f>
        <v/>
      </c>
      <c r="C64" s="12">
        <f>IF(A64="","",ROUND(E63*$B$5/100/12,0))</f>
        <v/>
      </c>
      <c r="D64" s="12">
        <f>IF(A64="","",B64+C64)</f>
        <v/>
      </c>
      <c r="E64" s="12">
        <f>IF(A64="","",E63-B64)</f>
        <v/>
      </c>
    </row>
    <row r="65">
      <c r="A65" s="7">
        <f>IF(56&gt;$B$6,"",56)</f>
        <v/>
      </c>
      <c r="B65" s="12">
        <f>IF(A65="","",IF(A65&lt;=$B$7,0,$B$4/($B$6-$B$7)))</f>
        <v/>
      </c>
      <c r="C65" s="12">
        <f>IF(A65="","",ROUND(E64*$B$5/100/12,0))</f>
        <v/>
      </c>
      <c r="D65" s="12">
        <f>IF(A65="","",B65+C65)</f>
        <v/>
      </c>
      <c r="E65" s="12">
        <f>IF(A65="","",E64-B65)</f>
        <v/>
      </c>
    </row>
    <row r="66">
      <c r="A66" s="7">
        <f>IF(57&gt;$B$6,"",57)</f>
        <v/>
      </c>
      <c r="B66" s="12">
        <f>IF(A66="","",IF(A66&lt;=$B$7,0,$B$4/($B$6-$B$7)))</f>
        <v/>
      </c>
      <c r="C66" s="12">
        <f>IF(A66="","",ROUND(E65*$B$5/100/12,0))</f>
        <v/>
      </c>
      <c r="D66" s="12">
        <f>IF(A66="","",B66+C66)</f>
        <v/>
      </c>
      <c r="E66" s="12">
        <f>IF(A66="","",E65-B66)</f>
        <v/>
      </c>
    </row>
    <row r="67">
      <c r="A67" s="7">
        <f>IF(58&gt;$B$6,"",58)</f>
        <v/>
      </c>
      <c r="B67" s="12">
        <f>IF(A67="","",IF(A67&lt;=$B$7,0,$B$4/($B$6-$B$7)))</f>
        <v/>
      </c>
      <c r="C67" s="12">
        <f>IF(A67="","",ROUND(E66*$B$5/100/12,0))</f>
        <v/>
      </c>
      <c r="D67" s="12">
        <f>IF(A67="","",B67+C67)</f>
        <v/>
      </c>
      <c r="E67" s="12">
        <f>IF(A67="","",E66-B67)</f>
        <v/>
      </c>
    </row>
    <row r="68">
      <c r="A68" s="7">
        <f>IF(59&gt;$B$6,"",59)</f>
        <v/>
      </c>
      <c r="B68" s="12">
        <f>IF(A68="","",IF(A68&lt;=$B$7,0,$B$4/($B$6-$B$7)))</f>
        <v/>
      </c>
      <c r="C68" s="12">
        <f>IF(A68="","",ROUND(E67*$B$5/100/12,0))</f>
        <v/>
      </c>
      <c r="D68" s="12">
        <f>IF(A68="","",B68+C68)</f>
        <v/>
      </c>
      <c r="E68" s="12">
        <f>IF(A68="","",E67-B68)</f>
        <v/>
      </c>
    </row>
    <row r="69">
      <c r="A69" s="7">
        <f>IF(60&gt;$B$6,"",60)</f>
        <v/>
      </c>
      <c r="B69" s="12">
        <f>IF(A69="","",IF(A69&lt;=$B$7,0,$B$4/($B$6-$B$7)))</f>
        <v/>
      </c>
      <c r="C69" s="12">
        <f>IF(A69="","",ROUND(E68*$B$5/100/12,0))</f>
        <v/>
      </c>
      <c r="D69" s="12">
        <f>IF(A69="","",B69+C69)</f>
        <v/>
      </c>
      <c r="E69" s="12">
        <f>IF(A69="","",E68-B69)</f>
        <v/>
      </c>
    </row>
    <row r="70">
      <c r="A70" s="7">
        <f>IF(61&gt;$B$6,"",61)</f>
        <v/>
      </c>
      <c r="B70" s="12">
        <f>IF(A70="","",IF(A70&lt;=$B$7,0,$B$4/($B$6-$B$7)))</f>
        <v/>
      </c>
      <c r="C70" s="12">
        <f>IF(A70="","",ROUND(E69*$B$5/100/12,0))</f>
        <v/>
      </c>
      <c r="D70" s="12">
        <f>IF(A70="","",B70+C70)</f>
        <v/>
      </c>
      <c r="E70" s="12">
        <f>IF(A70="","",E69-B70)</f>
        <v/>
      </c>
    </row>
    <row r="71">
      <c r="A71" s="7">
        <f>IF(62&gt;$B$6,"",62)</f>
        <v/>
      </c>
      <c r="B71" s="12">
        <f>IF(A71="","",IF(A71&lt;=$B$7,0,$B$4/($B$6-$B$7)))</f>
        <v/>
      </c>
      <c r="C71" s="12">
        <f>IF(A71="","",ROUND(E70*$B$5/100/12,0))</f>
        <v/>
      </c>
      <c r="D71" s="12">
        <f>IF(A71="","",B71+C71)</f>
        <v/>
      </c>
      <c r="E71" s="12">
        <f>IF(A71="","",E70-B71)</f>
        <v/>
      </c>
    </row>
    <row r="72">
      <c r="A72" s="7">
        <f>IF(63&gt;$B$6,"",63)</f>
        <v/>
      </c>
      <c r="B72" s="12">
        <f>IF(A72="","",IF(A72&lt;=$B$7,0,$B$4/($B$6-$B$7)))</f>
        <v/>
      </c>
      <c r="C72" s="12">
        <f>IF(A72="","",ROUND(E71*$B$5/100/12,0))</f>
        <v/>
      </c>
      <c r="D72" s="12">
        <f>IF(A72="","",B72+C72)</f>
        <v/>
      </c>
      <c r="E72" s="12">
        <f>IF(A72="","",E71-B72)</f>
        <v/>
      </c>
    </row>
    <row r="73">
      <c r="A73" s="7">
        <f>IF(64&gt;$B$6,"",64)</f>
        <v/>
      </c>
      <c r="B73" s="12">
        <f>IF(A73="","",IF(A73&lt;=$B$7,0,$B$4/($B$6-$B$7)))</f>
        <v/>
      </c>
      <c r="C73" s="12">
        <f>IF(A73="","",ROUND(E72*$B$5/100/12,0))</f>
        <v/>
      </c>
      <c r="D73" s="12">
        <f>IF(A73="","",B73+C73)</f>
        <v/>
      </c>
      <c r="E73" s="12">
        <f>IF(A73="","",E72-B73)</f>
        <v/>
      </c>
    </row>
    <row r="74">
      <c r="A74" s="7">
        <f>IF(65&gt;$B$6,"",65)</f>
        <v/>
      </c>
      <c r="B74" s="12">
        <f>IF(A74="","",IF(A74&lt;=$B$7,0,$B$4/($B$6-$B$7)))</f>
        <v/>
      </c>
      <c r="C74" s="12">
        <f>IF(A74="","",ROUND(E73*$B$5/100/12,0))</f>
        <v/>
      </c>
      <c r="D74" s="12">
        <f>IF(A74="","",B74+C74)</f>
        <v/>
      </c>
      <c r="E74" s="12">
        <f>IF(A74="","",E73-B74)</f>
        <v/>
      </c>
    </row>
    <row r="75">
      <c r="A75" s="7">
        <f>IF(66&gt;$B$6,"",66)</f>
        <v/>
      </c>
      <c r="B75" s="12">
        <f>IF(A75="","",IF(A75&lt;=$B$7,0,$B$4/($B$6-$B$7)))</f>
        <v/>
      </c>
      <c r="C75" s="12">
        <f>IF(A75="","",ROUND(E74*$B$5/100/12,0))</f>
        <v/>
      </c>
      <c r="D75" s="12">
        <f>IF(A75="","",B75+C75)</f>
        <v/>
      </c>
      <c r="E75" s="12">
        <f>IF(A75="","",E74-B75)</f>
        <v/>
      </c>
    </row>
    <row r="76">
      <c r="A76" s="7">
        <f>IF(67&gt;$B$6,"",67)</f>
        <v/>
      </c>
      <c r="B76" s="12">
        <f>IF(A76="","",IF(A76&lt;=$B$7,0,$B$4/($B$6-$B$7)))</f>
        <v/>
      </c>
      <c r="C76" s="12">
        <f>IF(A76="","",ROUND(E75*$B$5/100/12,0))</f>
        <v/>
      </c>
      <c r="D76" s="12">
        <f>IF(A76="","",B76+C76)</f>
        <v/>
      </c>
      <c r="E76" s="12">
        <f>IF(A76="","",E75-B76)</f>
        <v/>
      </c>
    </row>
    <row r="77">
      <c r="A77" s="7">
        <f>IF(68&gt;$B$6,"",68)</f>
        <v/>
      </c>
      <c r="B77" s="12">
        <f>IF(A77="","",IF(A77&lt;=$B$7,0,$B$4/($B$6-$B$7)))</f>
        <v/>
      </c>
      <c r="C77" s="12">
        <f>IF(A77="","",ROUND(E76*$B$5/100/12,0))</f>
        <v/>
      </c>
      <c r="D77" s="12">
        <f>IF(A77="","",B77+C77)</f>
        <v/>
      </c>
      <c r="E77" s="12">
        <f>IF(A77="","",E76-B77)</f>
        <v/>
      </c>
    </row>
    <row r="78">
      <c r="A78" s="7">
        <f>IF(69&gt;$B$6,"",69)</f>
        <v/>
      </c>
      <c r="B78" s="12">
        <f>IF(A78="","",IF(A78&lt;=$B$7,0,$B$4/($B$6-$B$7)))</f>
        <v/>
      </c>
      <c r="C78" s="12">
        <f>IF(A78="","",ROUND(E77*$B$5/100/12,0))</f>
        <v/>
      </c>
      <c r="D78" s="12">
        <f>IF(A78="","",B78+C78)</f>
        <v/>
      </c>
      <c r="E78" s="12">
        <f>IF(A78="","",E77-B78)</f>
        <v/>
      </c>
    </row>
    <row r="79">
      <c r="A79" s="7">
        <f>IF(70&gt;$B$6,"",70)</f>
        <v/>
      </c>
      <c r="B79" s="12">
        <f>IF(A79="","",IF(A79&lt;=$B$7,0,$B$4/($B$6-$B$7)))</f>
        <v/>
      </c>
      <c r="C79" s="12">
        <f>IF(A79="","",ROUND(E78*$B$5/100/12,0))</f>
        <v/>
      </c>
      <c r="D79" s="12">
        <f>IF(A79="","",B79+C79)</f>
        <v/>
      </c>
      <c r="E79" s="12">
        <f>IF(A79="","",E78-B79)</f>
        <v/>
      </c>
    </row>
    <row r="80">
      <c r="A80" s="7">
        <f>IF(71&gt;$B$6,"",71)</f>
        <v/>
      </c>
      <c r="B80" s="12">
        <f>IF(A80="","",IF(A80&lt;=$B$7,0,$B$4/($B$6-$B$7)))</f>
        <v/>
      </c>
      <c r="C80" s="12">
        <f>IF(A80="","",ROUND(E79*$B$5/100/12,0))</f>
        <v/>
      </c>
      <c r="D80" s="12">
        <f>IF(A80="","",B80+C80)</f>
        <v/>
      </c>
      <c r="E80" s="12">
        <f>IF(A80="","",E79-B80)</f>
        <v/>
      </c>
    </row>
    <row r="81">
      <c r="A81" s="7">
        <f>IF(72&gt;$B$6,"",72)</f>
        <v/>
      </c>
      <c r="B81" s="12">
        <f>IF(A81="","",IF(A81&lt;=$B$7,0,$B$4/($B$6-$B$7)))</f>
        <v/>
      </c>
      <c r="C81" s="12">
        <f>IF(A81="","",ROUND(E80*$B$5/100/12,0))</f>
        <v/>
      </c>
      <c r="D81" s="12">
        <f>IF(A81="","",B81+C81)</f>
        <v/>
      </c>
      <c r="E81" s="12">
        <f>IF(A81="","",E80-B81)</f>
        <v/>
      </c>
    </row>
    <row r="82">
      <c r="A82" s="7">
        <f>IF(73&gt;$B$6,"",73)</f>
        <v/>
      </c>
      <c r="B82" s="12">
        <f>IF(A82="","",IF(A82&lt;=$B$7,0,$B$4/($B$6-$B$7)))</f>
        <v/>
      </c>
      <c r="C82" s="12">
        <f>IF(A82="","",ROUND(E81*$B$5/100/12,0))</f>
        <v/>
      </c>
      <c r="D82" s="12">
        <f>IF(A82="","",B82+C82)</f>
        <v/>
      </c>
      <c r="E82" s="12">
        <f>IF(A82="","",E81-B82)</f>
        <v/>
      </c>
    </row>
    <row r="83">
      <c r="A83" s="7">
        <f>IF(74&gt;$B$6,"",74)</f>
        <v/>
      </c>
      <c r="B83" s="12">
        <f>IF(A83="","",IF(A83&lt;=$B$7,0,$B$4/($B$6-$B$7)))</f>
        <v/>
      </c>
      <c r="C83" s="12">
        <f>IF(A83="","",ROUND(E82*$B$5/100/12,0))</f>
        <v/>
      </c>
      <c r="D83" s="12">
        <f>IF(A83="","",B83+C83)</f>
        <v/>
      </c>
      <c r="E83" s="12">
        <f>IF(A83="","",E82-B83)</f>
        <v/>
      </c>
    </row>
    <row r="84">
      <c r="A84" s="7">
        <f>IF(75&gt;$B$6,"",75)</f>
        <v/>
      </c>
      <c r="B84" s="12">
        <f>IF(A84="","",IF(A84&lt;=$B$7,0,$B$4/($B$6-$B$7)))</f>
        <v/>
      </c>
      <c r="C84" s="12">
        <f>IF(A84="","",ROUND(E83*$B$5/100/12,0))</f>
        <v/>
      </c>
      <c r="D84" s="12">
        <f>IF(A84="","",B84+C84)</f>
        <v/>
      </c>
      <c r="E84" s="12">
        <f>IF(A84="","",E83-B84)</f>
        <v/>
      </c>
    </row>
    <row r="85">
      <c r="A85" s="7">
        <f>IF(76&gt;$B$6,"",76)</f>
        <v/>
      </c>
      <c r="B85" s="12">
        <f>IF(A85="","",IF(A85&lt;=$B$7,0,$B$4/($B$6-$B$7)))</f>
        <v/>
      </c>
      <c r="C85" s="12">
        <f>IF(A85="","",ROUND(E84*$B$5/100/12,0))</f>
        <v/>
      </c>
      <c r="D85" s="12">
        <f>IF(A85="","",B85+C85)</f>
        <v/>
      </c>
      <c r="E85" s="12">
        <f>IF(A85="","",E84-B85)</f>
        <v/>
      </c>
    </row>
    <row r="86">
      <c r="A86" s="7">
        <f>IF(77&gt;$B$6,"",77)</f>
        <v/>
      </c>
      <c r="B86" s="12">
        <f>IF(A86="","",IF(A86&lt;=$B$7,0,$B$4/($B$6-$B$7)))</f>
        <v/>
      </c>
      <c r="C86" s="12">
        <f>IF(A86="","",ROUND(E85*$B$5/100/12,0))</f>
        <v/>
      </c>
      <c r="D86" s="12">
        <f>IF(A86="","",B86+C86)</f>
        <v/>
      </c>
      <c r="E86" s="12">
        <f>IF(A86="","",E85-B86)</f>
        <v/>
      </c>
    </row>
    <row r="87">
      <c r="A87" s="7">
        <f>IF(78&gt;$B$6,"",78)</f>
        <v/>
      </c>
      <c r="B87" s="12">
        <f>IF(A87="","",IF(A87&lt;=$B$7,0,$B$4/($B$6-$B$7)))</f>
        <v/>
      </c>
      <c r="C87" s="12">
        <f>IF(A87="","",ROUND(E86*$B$5/100/12,0))</f>
        <v/>
      </c>
      <c r="D87" s="12">
        <f>IF(A87="","",B87+C87)</f>
        <v/>
      </c>
      <c r="E87" s="12">
        <f>IF(A87="","",E86-B87)</f>
        <v/>
      </c>
    </row>
    <row r="88">
      <c r="A88" s="7">
        <f>IF(79&gt;$B$6,"",79)</f>
        <v/>
      </c>
      <c r="B88" s="12">
        <f>IF(A88="","",IF(A88&lt;=$B$7,0,$B$4/($B$6-$B$7)))</f>
        <v/>
      </c>
      <c r="C88" s="12">
        <f>IF(A88="","",ROUND(E87*$B$5/100/12,0))</f>
        <v/>
      </c>
      <c r="D88" s="12">
        <f>IF(A88="","",B88+C88)</f>
        <v/>
      </c>
      <c r="E88" s="12">
        <f>IF(A88="","",E87-B88)</f>
        <v/>
      </c>
    </row>
    <row r="89">
      <c r="A89" s="7">
        <f>IF(80&gt;$B$6,"",80)</f>
        <v/>
      </c>
      <c r="B89" s="12">
        <f>IF(A89="","",IF(A89&lt;=$B$7,0,$B$4/($B$6-$B$7)))</f>
        <v/>
      </c>
      <c r="C89" s="12">
        <f>IF(A89="","",ROUND(E88*$B$5/100/12,0))</f>
        <v/>
      </c>
      <c r="D89" s="12">
        <f>IF(A89="","",B89+C89)</f>
        <v/>
      </c>
      <c r="E89" s="12">
        <f>IF(A89="","",E88-B89)</f>
        <v/>
      </c>
    </row>
    <row r="90">
      <c r="A90" s="7">
        <f>IF(81&gt;$B$6,"",81)</f>
        <v/>
      </c>
      <c r="B90" s="12">
        <f>IF(A90="","",IF(A90&lt;=$B$7,0,$B$4/($B$6-$B$7)))</f>
        <v/>
      </c>
      <c r="C90" s="12">
        <f>IF(A90="","",ROUND(E89*$B$5/100/12,0))</f>
        <v/>
      </c>
      <c r="D90" s="12">
        <f>IF(A90="","",B90+C90)</f>
        <v/>
      </c>
      <c r="E90" s="12">
        <f>IF(A90="","",E89-B90)</f>
        <v/>
      </c>
    </row>
    <row r="91">
      <c r="A91" s="7">
        <f>IF(82&gt;$B$6,"",82)</f>
        <v/>
      </c>
      <c r="B91" s="12">
        <f>IF(A91="","",IF(A91&lt;=$B$7,0,$B$4/($B$6-$B$7)))</f>
        <v/>
      </c>
      <c r="C91" s="12">
        <f>IF(A91="","",ROUND(E90*$B$5/100/12,0))</f>
        <v/>
      </c>
      <c r="D91" s="12">
        <f>IF(A91="","",B91+C91)</f>
        <v/>
      </c>
      <c r="E91" s="12">
        <f>IF(A91="","",E90-B91)</f>
        <v/>
      </c>
    </row>
    <row r="92">
      <c r="A92" s="7">
        <f>IF(83&gt;$B$6,"",83)</f>
        <v/>
      </c>
      <c r="B92" s="12">
        <f>IF(A92="","",IF(A92&lt;=$B$7,0,$B$4/($B$6-$B$7)))</f>
        <v/>
      </c>
      <c r="C92" s="12">
        <f>IF(A92="","",ROUND(E91*$B$5/100/12,0))</f>
        <v/>
      </c>
      <c r="D92" s="12">
        <f>IF(A92="","",B92+C92)</f>
        <v/>
      </c>
      <c r="E92" s="12">
        <f>IF(A92="","",E91-B92)</f>
        <v/>
      </c>
    </row>
    <row r="93">
      <c r="A93" s="7">
        <f>IF(84&gt;$B$6,"",84)</f>
        <v/>
      </c>
      <c r="B93" s="12">
        <f>IF(A93="","",IF(A93&lt;=$B$7,0,$B$4/($B$6-$B$7)))</f>
        <v/>
      </c>
      <c r="C93" s="12">
        <f>IF(A93="","",ROUND(E92*$B$5/100/12,0))</f>
        <v/>
      </c>
      <c r="D93" s="12">
        <f>IF(A93="","",B93+C93)</f>
        <v/>
      </c>
      <c r="E93" s="12">
        <f>IF(A93="","",E92-B93)</f>
        <v/>
      </c>
    </row>
    <row r="94">
      <c r="A94" s="7">
        <f>IF(85&gt;$B$6,"",85)</f>
        <v/>
      </c>
      <c r="B94" s="12">
        <f>IF(A94="","",IF(A94&lt;=$B$7,0,$B$4/($B$6-$B$7)))</f>
        <v/>
      </c>
      <c r="C94" s="12">
        <f>IF(A94="","",ROUND(E93*$B$5/100/12,0))</f>
        <v/>
      </c>
      <c r="D94" s="12">
        <f>IF(A94="","",B94+C94)</f>
        <v/>
      </c>
      <c r="E94" s="12">
        <f>IF(A94="","",E93-B94)</f>
        <v/>
      </c>
    </row>
    <row r="95">
      <c r="A95" s="7">
        <f>IF(86&gt;$B$6,"",86)</f>
        <v/>
      </c>
      <c r="B95" s="12">
        <f>IF(A95="","",IF(A95&lt;=$B$7,0,$B$4/($B$6-$B$7)))</f>
        <v/>
      </c>
      <c r="C95" s="12">
        <f>IF(A95="","",ROUND(E94*$B$5/100/12,0))</f>
        <v/>
      </c>
      <c r="D95" s="12">
        <f>IF(A95="","",B95+C95)</f>
        <v/>
      </c>
      <c r="E95" s="12">
        <f>IF(A95="","",E94-B95)</f>
        <v/>
      </c>
    </row>
    <row r="96">
      <c r="A96" s="7">
        <f>IF(87&gt;$B$6,"",87)</f>
        <v/>
      </c>
      <c r="B96" s="12">
        <f>IF(A96="","",IF(A96&lt;=$B$7,0,$B$4/($B$6-$B$7)))</f>
        <v/>
      </c>
      <c r="C96" s="12">
        <f>IF(A96="","",ROUND(E95*$B$5/100/12,0))</f>
        <v/>
      </c>
      <c r="D96" s="12">
        <f>IF(A96="","",B96+C96)</f>
        <v/>
      </c>
      <c r="E96" s="12">
        <f>IF(A96="","",E95-B96)</f>
        <v/>
      </c>
    </row>
    <row r="97">
      <c r="A97" s="7">
        <f>IF(88&gt;$B$6,"",88)</f>
        <v/>
      </c>
      <c r="B97" s="12">
        <f>IF(A97="","",IF(A97&lt;=$B$7,0,$B$4/($B$6-$B$7)))</f>
        <v/>
      </c>
      <c r="C97" s="12">
        <f>IF(A97="","",ROUND(E96*$B$5/100/12,0))</f>
        <v/>
      </c>
      <c r="D97" s="12">
        <f>IF(A97="","",B97+C97)</f>
        <v/>
      </c>
      <c r="E97" s="12">
        <f>IF(A97="","",E96-B97)</f>
        <v/>
      </c>
    </row>
    <row r="98">
      <c r="A98" s="7">
        <f>IF(89&gt;$B$6,"",89)</f>
        <v/>
      </c>
      <c r="B98" s="12">
        <f>IF(A98="","",IF(A98&lt;=$B$7,0,$B$4/($B$6-$B$7)))</f>
        <v/>
      </c>
      <c r="C98" s="12">
        <f>IF(A98="","",ROUND(E97*$B$5/100/12,0))</f>
        <v/>
      </c>
      <c r="D98" s="12">
        <f>IF(A98="","",B98+C98)</f>
        <v/>
      </c>
      <c r="E98" s="12">
        <f>IF(A98="","",E97-B98)</f>
        <v/>
      </c>
    </row>
    <row r="99">
      <c r="A99" s="7">
        <f>IF(90&gt;$B$6,"",90)</f>
        <v/>
      </c>
      <c r="B99" s="12">
        <f>IF(A99="","",IF(A99&lt;=$B$7,0,$B$4/($B$6-$B$7)))</f>
        <v/>
      </c>
      <c r="C99" s="12">
        <f>IF(A99="","",ROUND(E98*$B$5/100/12,0))</f>
        <v/>
      </c>
      <c r="D99" s="12">
        <f>IF(A99="","",B99+C99)</f>
        <v/>
      </c>
      <c r="E99" s="12">
        <f>IF(A99="","",E98-B99)</f>
        <v/>
      </c>
    </row>
    <row r="100">
      <c r="A100" s="7">
        <f>IF(91&gt;$B$6,"",91)</f>
        <v/>
      </c>
      <c r="B100" s="12">
        <f>IF(A100="","",IF(A100&lt;=$B$7,0,$B$4/($B$6-$B$7)))</f>
        <v/>
      </c>
      <c r="C100" s="12">
        <f>IF(A100="","",ROUND(E99*$B$5/100/12,0))</f>
        <v/>
      </c>
      <c r="D100" s="12">
        <f>IF(A100="","",B100+C100)</f>
        <v/>
      </c>
      <c r="E100" s="12">
        <f>IF(A100="","",E99-B100)</f>
        <v/>
      </c>
    </row>
    <row r="101">
      <c r="A101" s="7">
        <f>IF(92&gt;$B$6,"",92)</f>
        <v/>
      </c>
      <c r="B101" s="12">
        <f>IF(A101="","",IF(A101&lt;=$B$7,0,$B$4/($B$6-$B$7)))</f>
        <v/>
      </c>
      <c r="C101" s="12">
        <f>IF(A101="","",ROUND(E100*$B$5/100/12,0))</f>
        <v/>
      </c>
      <c r="D101" s="12">
        <f>IF(A101="","",B101+C101)</f>
        <v/>
      </c>
      <c r="E101" s="12">
        <f>IF(A101="","",E100-B101)</f>
        <v/>
      </c>
    </row>
    <row r="102">
      <c r="A102" s="7">
        <f>IF(93&gt;$B$6,"",93)</f>
        <v/>
      </c>
      <c r="B102" s="12">
        <f>IF(A102="","",IF(A102&lt;=$B$7,0,$B$4/($B$6-$B$7)))</f>
        <v/>
      </c>
      <c r="C102" s="12">
        <f>IF(A102="","",ROUND(E101*$B$5/100/12,0))</f>
        <v/>
      </c>
      <c r="D102" s="12">
        <f>IF(A102="","",B102+C102)</f>
        <v/>
      </c>
      <c r="E102" s="12">
        <f>IF(A102="","",E101-B102)</f>
        <v/>
      </c>
    </row>
    <row r="103">
      <c r="A103" s="7">
        <f>IF(94&gt;$B$6,"",94)</f>
        <v/>
      </c>
      <c r="B103" s="12">
        <f>IF(A103="","",IF(A103&lt;=$B$7,0,$B$4/($B$6-$B$7)))</f>
        <v/>
      </c>
      <c r="C103" s="12">
        <f>IF(A103="","",ROUND(E102*$B$5/100/12,0))</f>
        <v/>
      </c>
      <c r="D103" s="12">
        <f>IF(A103="","",B103+C103)</f>
        <v/>
      </c>
      <c r="E103" s="12">
        <f>IF(A103="","",E102-B103)</f>
        <v/>
      </c>
    </row>
    <row r="104">
      <c r="A104" s="7">
        <f>IF(95&gt;$B$6,"",95)</f>
        <v/>
      </c>
      <c r="B104" s="12">
        <f>IF(A104="","",IF(A104&lt;=$B$7,0,$B$4/($B$6-$B$7)))</f>
        <v/>
      </c>
      <c r="C104" s="12">
        <f>IF(A104="","",ROUND(E103*$B$5/100/12,0))</f>
        <v/>
      </c>
      <c r="D104" s="12">
        <f>IF(A104="","",B104+C104)</f>
        <v/>
      </c>
      <c r="E104" s="12">
        <f>IF(A104="","",E103-B104)</f>
        <v/>
      </c>
    </row>
    <row r="105">
      <c r="A105" s="7">
        <f>IF(96&gt;$B$6,"",96)</f>
        <v/>
      </c>
      <c r="B105" s="12">
        <f>IF(A105="","",IF(A105&lt;=$B$7,0,$B$4/($B$6-$B$7)))</f>
        <v/>
      </c>
      <c r="C105" s="12">
        <f>IF(A105="","",ROUND(E104*$B$5/100/12,0))</f>
        <v/>
      </c>
      <c r="D105" s="12">
        <f>IF(A105="","",B105+C105)</f>
        <v/>
      </c>
      <c r="E105" s="12">
        <f>IF(A105="","",E104-B105)</f>
        <v/>
      </c>
    </row>
    <row r="106">
      <c r="A106" s="7">
        <f>IF(97&gt;$B$6,"",97)</f>
        <v/>
      </c>
      <c r="B106" s="12">
        <f>IF(A106="","",IF(A106&lt;=$B$7,0,$B$4/($B$6-$B$7)))</f>
        <v/>
      </c>
      <c r="C106" s="12">
        <f>IF(A106="","",ROUND(E105*$B$5/100/12,0))</f>
        <v/>
      </c>
      <c r="D106" s="12">
        <f>IF(A106="","",B106+C106)</f>
        <v/>
      </c>
      <c r="E106" s="12">
        <f>IF(A106="","",E105-B106)</f>
        <v/>
      </c>
    </row>
    <row r="107">
      <c r="A107" s="7">
        <f>IF(98&gt;$B$6,"",98)</f>
        <v/>
      </c>
      <c r="B107" s="12">
        <f>IF(A107="","",IF(A107&lt;=$B$7,0,$B$4/($B$6-$B$7)))</f>
        <v/>
      </c>
      <c r="C107" s="12">
        <f>IF(A107="","",ROUND(E106*$B$5/100/12,0))</f>
        <v/>
      </c>
      <c r="D107" s="12">
        <f>IF(A107="","",B107+C107)</f>
        <v/>
      </c>
      <c r="E107" s="12">
        <f>IF(A107="","",E106-B107)</f>
        <v/>
      </c>
    </row>
    <row r="108">
      <c r="A108" s="7">
        <f>IF(99&gt;$B$6,"",99)</f>
        <v/>
      </c>
      <c r="B108" s="12">
        <f>IF(A108="","",IF(A108&lt;=$B$7,0,$B$4/($B$6-$B$7)))</f>
        <v/>
      </c>
      <c r="C108" s="12">
        <f>IF(A108="","",ROUND(E107*$B$5/100/12,0))</f>
        <v/>
      </c>
      <c r="D108" s="12">
        <f>IF(A108="","",B108+C108)</f>
        <v/>
      </c>
      <c r="E108" s="12">
        <f>IF(A108="","",E107-B108)</f>
        <v/>
      </c>
    </row>
    <row r="109">
      <c r="A109" s="7">
        <f>IF(100&gt;$B$6,"",100)</f>
        <v/>
      </c>
      <c r="B109" s="12">
        <f>IF(A109="","",IF(A109&lt;=$B$7,0,$B$4/($B$6-$B$7)))</f>
        <v/>
      </c>
      <c r="C109" s="12">
        <f>IF(A109="","",ROUND(E108*$B$5/100/12,0))</f>
        <v/>
      </c>
      <c r="D109" s="12">
        <f>IF(A109="","",B109+C109)</f>
        <v/>
      </c>
      <c r="E109" s="12">
        <f>IF(A109="","",E108-B109)</f>
        <v/>
      </c>
    </row>
    <row r="110">
      <c r="A110" s="7">
        <f>IF(101&gt;$B$6,"",101)</f>
        <v/>
      </c>
      <c r="B110" s="12">
        <f>IF(A110="","",IF(A110&lt;=$B$7,0,$B$4/($B$6-$B$7)))</f>
        <v/>
      </c>
      <c r="C110" s="12">
        <f>IF(A110="","",ROUND(E109*$B$5/100/12,0))</f>
        <v/>
      </c>
      <c r="D110" s="12">
        <f>IF(A110="","",B110+C110)</f>
        <v/>
      </c>
      <c r="E110" s="12">
        <f>IF(A110="","",E109-B110)</f>
        <v/>
      </c>
    </row>
    <row r="111">
      <c r="A111" s="7">
        <f>IF(102&gt;$B$6,"",102)</f>
        <v/>
      </c>
      <c r="B111" s="12">
        <f>IF(A111="","",IF(A111&lt;=$B$7,0,$B$4/($B$6-$B$7)))</f>
        <v/>
      </c>
      <c r="C111" s="12">
        <f>IF(A111="","",ROUND(E110*$B$5/100/12,0))</f>
        <v/>
      </c>
      <c r="D111" s="12">
        <f>IF(A111="","",B111+C111)</f>
        <v/>
      </c>
      <c r="E111" s="12">
        <f>IF(A111="","",E110-B111)</f>
        <v/>
      </c>
    </row>
    <row r="112">
      <c r="A112" s="7">
        <f>IF(103&gt;$B$6,"",103)</f>
        <v/>
      </c>
      <c r="B112" s="12">
        <f>IF(A112="","",IF(A112&lt;=$B$7,0,$B$4/($B$6-$B$7)))</f>
        <v/>
      </c>
      <c r="C112" s="12">
        <f>IF(A112="","",ROUND(E111*$B$5/100/12,0))</f>
        <v/>
      </c>
      <c r="D112" s="12">
        <f>IF(A112="","",B112+C112)</f>
        <v/>
      </c>
      <c r="E112" s="12">
        <f>IF(A112="","",E111-B112)</f>
        <v/>
      </c>
    </row>
    <row r="113">
      <c r="A113" s="7">
        <f>IF(104&gt;$B$6,"",104)</f>
        <v/>
      </c>
      <c r="B113" s="12">
        <f>IF(A113="","",IF(A113&lt;=$B$7,0,$B$4/($B$6-$B$7)))</f>
        <v/>
      </c>
      <c r="C113" s="12">
        <f>IF(A113="","",ROUND(E112*$B$5/100/12,0))</f>
        <v/>
      </c>
      <c r="D113" s="12">
        <f>IF(A113="","",B113+C113)</f>
        <v/>
      </c>
      <c r="E113" s="12">
        <f>IF(A113="","",E112-B113)</f>
        <v/>
      </c>
    </row>
    <row r="114">
      <c r="A114" s="7">
        <f>IF(105&gt;$B$6,"",105)</f>
        <v/>
      </c>
      <c r="B114" s="12">
        <f>IF(A114="","",IF(A114&lt;=$B$7,0,$B$4/($B$6-$B$7)))</f>
        <v/>
      </c>
      <c r="C114" s="12">
        <f>IF(A114="","",ROUND(E113*$B$5/100/12,0))</f>
        <v/>
      </c>
      <c r="D114" s="12">
        <f>IF(A114="","",B114+C114)</f>
        <v/>
      </c>
      <c r="E114" s="12">
        <f>IF(A114="","",E113-B114)</f>
        <v/>
      </c>
    </row>
    <row r="115">
      <c r="A115" s="7">
        <f>IF(106&gt;$B$6,"",106)</f>
        <v/>
      </c>
      <c r="B115" s="12">
        <f>IF(A115="","",IF(A115&lt;=$B$7,0,$B$4/($B$6-$B$7)))</f>
        <v/>
      </c>
      <c r="C115" s="12">
        <f>IF(A115="","",ROUND(E114*$B$5/100/12,0))</f>
        <v/>
      </c>
      <c r="D115" s="12">
        <f>IF(A115="","",B115+C115)</f>
        <v/>
      </c>
      <c r="E115" s="12">
        <f>IF(A115="","",E114-B115)</f>
        <v/>
      </c>
    </row>
    <row r="116">
      <c r="A116" s="7">
        <f>IF(107&gt;$B$6,"",107)</f>
        <v/>
      </c>
      <c r="B116" s="12">
        <f>IF(A116="","",IF(A116&lt;=$B$7,0,$B$4/($B$6-$B$7)))</f>
        <v/>
      </c>
      <c r="C116" s="12">
        <f>IF(A116="","",ROUND(E115*$B$5/100/12,0))</f>
        <v/>
      </c>
      <c r="D116" s="12">
        <f>IF(A116="","",B116+C116)</f>
        <v/>
      </c>
      <c r="E116" s="12">
        <f>IF(A116="","",E115-B116)</f>
        <v/>
      </c>
    </row>
    <row r="117">
      <c r="A117" s="7">
        <f>IF(108&gt;$B$6,"",108)</f>
        <v/>
      </c>
      <c r="B117" s="12">
        <f>IF(A117="","",IF(A117&lt;=$B$7,0,$B$4/($B$6-$B$7)))</f>
        <v/>
      </c>
      <c r="C117" s="12">
        <f>IF(A117="","",ROUND(E116*$B$5/100/12,0))</f>
        <v/>
      </c>
      <c r="D117" s="12">
        <f>IF(A117="","",B117+C117)</f>
        <v/>
      </c>
      <c r="E117" s="12">
        <f>IF(A117="","",E116-B117)</f>
        <v/>
      </c>
    </row>
    <row r="118">
      <c r="A118" s="7">
        <f>IF(109&gt;$B$6,"",109)</f>
        <v/>
      </c>
      <c r="B118" s="12">
        <f>IF(A118="","",IF(A118&lt;=$B$7,0,$B$4/($B$6-$B$7)))</f>
        <v/>
      </c>
      <c r="C118" s="12">
        <f>IF(A118="","",ROUND(E117*$B$5/100/12,0))</f>
        <v/>
      </c>
      <c r="D118" s="12">
        <f>IF(A118="","",B118+C118)</f>
        <v/>
      </c>
      <c r="E118" s="12">
        <f>IF(A118="","",E117-B118)</f>
        <v/>
      </c>
    </row>
    <row r="119">
      <c r="A119" s="7">
        <f>IF(110&gt;$B$6,"",110)</f>
        <v/>
      </c>
      <c r="B119" s="12">
        <f>IF(A119="","",IF(A119&lt;=$B$7,0,$B$4/($B$6-$B$7)))</f>
        <v/>
      </c>
      <c r="C119" s="12">
        <f>IF(A119="","",ROUND(E118*$B$5/100/12,0))</f>
        <v/>
      </c>
      <c r="D119" s="12">
        <f>IF(A119="","",B119+C119)</f>
        <v/>
      </c>
      <c r="E119" s="12">
        <f>IF(A119="","",E118-B119)</f>
        <v/>
      </c>
    </row>
    <row r="120">
      <c r="A120" s="7">
        <f>IF(111&gt;$B$6,"",111)</f>
        <v/>
      </c>
      <c r="B120" s="12">
        <f>IF(A120="","",IF(A120&lt;=$B$7,0,$B$4/($B$6-$B$7)))</f>
        <v/>
      </c>
      <c r="C120" s="12">
        <f>IF(A120="","",ROUND(E119*$B$5/100/12,0))</f>
        <v/>
      </c>
      <c r="D120" s="12">
        <f>IF(A120="","",B120+C120)</f>
        <v/>
      </c>
      <c r="E120" s="12">
        <f>IF(A120="","",E119-B120)</f>
        <v/>
      </c>
    </row>
    <row r="121">
      <c r="A121" s="7">
        <f>IF(112&gt;$B$6,"",112)</f>
        <v/>
      </c>
      <c r="B121" s="12">
        <f>IF(A121="","",IF(A121&lt;=$B$7,0,$B$4/($B$6-$B$7)))</f>
        <v/>
      </c>
      <c r="C121" s="12">
        <f>IF(A121="","",ROUND(E120*$B$5/100/12,0))</f>
        <v/>
      </c>
      <c r="D121" s="12">
        <f>IF(A121="","",B121+C121)</f>
        <v/>
      </c>
      <c r="E121" s="12">
        <f>IF(A121="","",E120-B121)</f>
        <v/>
      </c>
    </row>
    <row r="122">
      <c r="A122" s="7">
        <f>IF(113&gt;$B$6,"",113)</f>
        <v/>
      </c>
      <c r="B122" s="12">
        <f>IF(A122="","",IF(A122&lt;=$B$7,0,$B$4/($B$6-$B$7)))</f>
        <v/>
      </c>
      <c r="C122" s="12">
        <f>IF(A122="","",ROUND(E121*$B$5/100/12,0))</f>
        <v/>
      </c>
      <c r="D122" s="12">
        <f>IF(A122="","",B122+C122)</f>
        <v/>
      </c>
      <c r="E122" s="12">
        <f>IF(A122="","",E121-B122)</f>
        <v/>
      </c>
    </row>
    <row r="123">
      <c r="A123" s="7">
        <f>IF(114&gt;$B$6,"",114)</f>
        <v/>
      </c>
      <c r="B123" s="12">
        <f>IF(A123="","",IF(A123&lt;=$B$7,0,$B$4/($B$6-$B$7)))</f>
        <v/>
      </c>
      <c r="C123" s="12">
        <f>IF(A123="","",ROUND(E122*$B$5/100/12,0))</f>
        <v/>
      </c>
      <c r="D123" s="12">
        <f>IF(A123="","",B123+C123)</f>
        <v/>
      </c>
      <c r="E123" s="12">
        <f>IF(A123="","",E122-B123)</f>
        <v/>
      </c>
    </row>
    <row r="124">
      <c r="A124" s="7">
        <f>IF(115&gt;$B$6,"",115)</f>
        <v/>
      </c>
      <c r="B124" s="12">
        <f>IF(A124="","",IF(A124&lt;=$B$7,0,$B$4/($B$6-$B$7)))</f>
        <v/>
      </c>
      <c r="C124" s="12">
        <f>IF(A124="","",ROUND(E123*$B$5/100/12,0))</f>
        <v/>
      </c>
      <c r="D124" s="12">
        <f>IF(A124="","",B124+C124)</f>
        <v/>
      </c>
      <c r="E124" s="12">
        <f>IF(A124="","",E123-B124)</f>
        <v/>
      </c>
    </row>
    <row r="125">
      <c r="A125" s="7">
        <f>IF(116&gt;$B$6,"",116)</f>
        <v/>
      </c>
      <c r="B125" s="12">
        <f>IF(A125="","",IF(A125&lt;=$B$7,0,$B$4/($B$6-$B$7)))</f>
        <v/>
      </c>
      <c r="C125" s="12">
        <f>IF(A125="","",ROUND(E124*$B$5/100/12,0))</f>
        <v/>
      </c>
      <c r="D125" s="12">
        <f>IF(A125="","",B125+C125)</f>
        <v/>
      </c>
      <c r="E125" s="12">
        <f>IF(A125="","",E124-B125)</f>
        <v/>
      </c>
    </row>
    <row r="126">
      <c r="A126" s="7">
        <f>IF(117&gt;$B$6,"",117)</f>
        <v/>
      </c>
      <c r="B126" s="12">
        <f>IF(A126="","",IF(A126&lt;=$B$7,0,$B$4/($B$6-$B$7)))</f>
        <v/>
      </c>
      <c r="C126" s="12">
        <f>IF(A126="","",ROUND(E125*$B$5/100/12,0))</f>
        <v/>
      </c>
      <c r="D126" s="12">
        <f>IF(A126="","",B126+C126)</f>
        <v/>
      </c>
      <c r="E126" s="12">
        <f>IF(A126="","",E125-B126)</f>
        <v/>
      </c>
    </row>
    <row r="127">
      <c r="A127" s="7">
        <f>IF(118&gt;$B$6,"",118)</f>
        <v/>
      </c>
      <c r="B127" s="12">
        <f>IF(A127="","",IF(A127&lt;=$B$7,0,$B$4/($B$6-$B$7)))</f>
        <v/>
      </c>
      <c r="C127" s="12">
        <f>IF(A127="","",ROUND(E126*$B$5/100/12,0))</f>
        <v/>
      </c>
      <c r="D127" s="12">
        <f>IF(A127="","",B127+C127)</f>
        <v/>
      </c>
      <c r="E127" s="12">
        <f>IF(A127="","",E126-B127)</f>
        <v/>
      </c>
    </row>
    <row r="128">
      <c r="A128" s="7">
        <f>IF(119&gt;$B$6,"",119)</f>
        <v/>
      </c>
      <c r="B128" s="12">
        <f>IF(A128="","",IF(A128&lt;=$B$7,0,$B$4/($B$6-$B$7)))</f>
        <v/>
      </c>
      <c r="C128" s="12">
        <f>IF(A128="","",ROUND(E127*$B$5/100/12,0))</f>
        <v/>
      </c>
      <c r="D128" s="12">
        <f>IF(A128="","",B128+C128)</f>
        <v/>
      </c>
      <c r="E128" s="12">
        <f>IF(A128="","",E127-B128)</f>
        <v/>
      </c>
    </row>
    <row r="129">
      <c r="A129" s="7">
        <f>IF(120&gt;$B$6,"",120)</f>
        <v/>
      </c>
      <c r="B129" s="12">
        <f>IF(A129="","",IF(A129&lt;=$B$7,0,$B$4/($B$6-$B$7)))</f>
        <v/>
      </c>
      <c r="C129" s="12">
        <f>IF(A129="","",ROUND(E128*$B$5/100/12,0))</f>
        <v/>
      </c>
      <c r="D129" s="12">
        <f>IF(A129="","",B129+C129)</f>
        <v/>
      </c>
      <c r="E129" s="12">
        <f>IF(A129="","",E128-B129)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2026-10-13T05:13:23Z</dcterms:created>
  <dcterms:modified xmlns:dcterms="http://purl.org/dc/terms/" xmlns:xsi="http://www.w3.org/2001/XMLSchema-instance" xsi:type="dcterms:W3CDTF">2026-10-13T05:13:23Z</dcterms:modified>
</cp:coreProperties>
</file>